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52B413DB-416B-A148-0A32-6202AF4EA34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ankun/Developer/Projects/otc-valuation-desk/outputs/2026-10-15/"/>
    </mc:Choice>
  </mc:AlternateContent>
  <xr:revisionPtr revIDLastSave="0" documentId="13_ncr:1_{49E06FF4-1BEC-9543-A0DF-BA323D67E63F}" xr6:coauthVersionLast="47" xr6:coauthVersionMax="47" xr10:uidLastSave="{00000000-0000-0000-0000-000000000000}"/>
  <bookViews>
    <workbookView xWindow="0" yWindow="600" windowWidth="38400" windowHeight="19320" activeTab="4" xr2:uid="{00000000-000D-0000-FFFF-FFFF00000000}"/>
  </bookViews>
  <sheets>
    <sheet name="QC" sheetId="1" r:id="rId1"/>
    <sheet name="Curves" sheetId="2" r:id="rId2"/>
    <sheet name="Valuations" sheetId="3" r:id="rId3"/>
    <sheet name="Challenges" sheetId="4" r:id="rId4"/>
    <sheet name="Exception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" i="5" l="1"/>
  <c r="Q6" i="5"/>
  <c r="P6" i="5"/>
  <c r="S6" i="5" s="1"/>
  <c r="R5" i="5"/>
  <c r="Q5" i="5"/>
  <c r="S5" i="5" s="1"/>
  <c r="P5" i="5"/>
  <c r="R4" i="5"/>
  <c r="Q4" i="5"/>
  <c r="P4" i="5"/>
  <c r="S4" i="5" s="1"/>
  <c r="R3" i="5"/>
  <c r="S3" i="5" s="1"/>
  <c r="Q3" i="5"/>
  <c r="P3" i="5"/>
  <c r="R2" i="5"/>
  <c r="Q2" i="5"/>
  <c r="P2" i="5"/>
  <c r="S2" i="5" s="1"/>
</calcChain>
</file>

<file path=xl/sharedStrings.xml><?xml version="1.0" encoding="utf-8"?>
<sst xmlns="http://schemas.openxmlformats.org/spreadsheetml/2006/main" count="525" uniqueCount="125">
  <si>
    <t>source</t>
  </si>
  <si>
    <t>field</t>
  </si>
  <si>
    <t>obs_date</t>
  </si>
  <si>
    <t>check</t>
  </si>
  <si>
    <t>severity</t>
  </si>
  <si>
    <t>detail</t>
  </si>
  <si>
    <t>SOFR</t>
  </si>
  <si>
    <t>jump</t>
  </si>
  <si>
    <t>WARN</t>
  </si>
  <si>
    <t>day-on-day move +23.00bp &gt; 10.0bp</t>
  </si>
  <si>
    <t>Treasury</t>
  </si>
  <si>
    <t>UST 3y</t>
  </si>
  <si>
    <t>day-on-day move +16.00bp &gt; 15.0bp</t>
  </si>
  <si>
    <t>UST 5y</t>
  </si>
  <si>
    <t>UST 7y</t>
  </si>
  <si>
    <t>UST 10y</t>
  </si>
  <si>
    <t>day-on-day move +15.00bp &gt; 15.0bp</t>
  </si>
  <si>
    <t>curve</t>
  </si>
  <si>
    <t>tenor_y</t>
  </si>
  <si>
    <t>zero_pct</t>
  </si>
  <si>
    <t>df_own</t>
  </si>
  <si>
    <t>df_quantlib</t>
  </si>
  <si>
    <t>df_diff_e6</t>
  </si>
  <si>
    <t>GBP SONIA OIS</t>
  </si>
  <si>
    <t>USD SOFR OIS (UST par proxy)</t>
  </si>
  <si>
    <t>trade_id</t>
  </si>
  <si>
    <t>product</t>
  </si>
  <si>
    <t>counterparty</t>
  </si>
  <si>
    <t>ccy</t>
  </si>
  <si>
    <t>pv_own</t>
  </si>
  <si>
    <t>pv_quantlib</t>
  </si>
  <si>
    <t>own_minus_ql</t>
  </si>
  <si>
    <t>diff_in_risk_units</t>
  </si>
  <si>
    <t>ref_check</t>
  </si>
  <si>
    <t>pv_usd</t>
  </si>
  <si>
    <t>pv01_GBP</t>
  </si>
  <si>
    <t>pv01_USD</t>
  </si>
  <si>
    <t>fx_delta_1pct</t>
  </si>
  <si>
    <t>vega_1pt</t>
  </si>
  <si>
    <t>vega_1bp</t>
  </si>
  <si>
    <t>NBM-IRS-001</t>
  </si>
  <si>
    <t>OIS</t>
  </si>
  <si>
    <t>Bank A</t>
  </si>
  <si>
    <t>GBP</t>
  </si>
  <si>
    <t>OK</t>
  </si>
  <si>
    <t>NBM-IRS-002</t>
  </si>
  <si>
    <t>Bank B</t>
  </si>
  <si>
    <t>NBM-IRS-003</t>
  </si>
  <si>
    <t>Bank C</t>
  </si>
  <si>
    <t>NBM-IRS-004</t>
  </si>
  <si>
    <t>NBM-IRS-005</t>
  </si>
  <si>
    <t>Bank D</t>
  </si>
  <si>
    <t>NBM-IRS-006</t>
  </si>
  <si>
    <t>NBM-IRS-007</t>
  </si>
  <si>
    <t>USD</t>
  </si>
  <si>
    <t>NBM-IRS-008</t>
  </si>
  <si>
    <t>Bank E</t>
  </si>
  <si>
    <t>NBM-IRS-009</t>
  </si>
  <si>
    <t>NBM-IRS-010</t>
  </si>
  <si>
    <t>NBM-FXF-001</t>
  </si>
  <si>
    <t>FXFWD</t>
  </si>
  <si>
    <t>NBM-FXF-002</t>
  </si>
  <si>
    <t>NBM-FXF-003</t>
  </si>
  <si>
    <t>NBM-FXF-004</t>
  </si>
  <si>
    <t>NBM-FXF-005</t>
  </si>
  <si>
    <t>NBM-FXO-001</t>
  </si>
  <si>
    <t>FXOPT</t>
  </si>
  <si>
    <t>NBM-FXO-002</t>
  </si>
  <si>
    <t>NBM-FXO-003</t>
  </si>
  <si>
    <t>NBM-FXO-004</t>
  </si>
  <si>
    <t>NBM-FXO-005</t>
  </si>
  <si>
    <t>NBM-SWO-001</t>
  </si>
  <si>
    <t>SWPTN</t>
  </si>
  <si>
    <t>NBM-SWO-002</t>
  </si>
  <si>
    <t>NBM-SWO-003</t>
  </si>
  <si>
    <t>NBM-SWO-004</t>
  </si>
  <si>
    <t>NBM-XCY-001</t>
  </si>
  <si>
    <t>XCCY</t>
  </si>
  <si>
    <t>NBM-XCY-002</t>
  </si>
  <si>
    <t>our_value</t>
  </si>
  <si>
    <t>dealer_mark</t>
  </si>
  <si>
    <t>difference</t>
  </si>
  <si>
    <t>tolerance</t>
  </si>
  <si>
    <t>status</t>
  </si>
  <si>
    <t>cause</t>
  </si>
  <si>
    <t>residual</t>
  </si>
  <si>
    <t>action</t>
  </si>
  <si>
    <t>EXPLAINED</t>
  </si>
  <si>
    <t>DAY_COUNT</t>
  </si>
  <si>
    <t>matches a fixed leg accrued ACT/360</t>
  </si>
  <si>
    <t>Confirm fixed-leg day count against the confirmation; ask the dealer to correct its booking</t>
  </si>
  <si>
    <t>WITHIN_TOLERANCE</t>
  </si>
  <si>
    <t>NOTIONAL</t>
  </si>
  <si>
    <t>matches a notional of 4,000,000 (booked 40,000,000)</t>
  </si>
  <si>
    <t>Booking break: confirm notional against the confirmation; escalate to operations</t>
  </si>
  <si>
    <t>LIKELY</t>
  </si>
  <si>
    <t>BID_SIDE</t>
  </si>
  <si>
    <t>value too small to test direction/notional: check the confirmation. gap = 0.50bp of PV01 against us</t>
  </si>
  <si>
    <t>Ask whether the mark is mid or bid/offer; request a mid mark</t>
  </si>
  <si>
    <t>INTERPOLATION</t>
  </si>
  <si>
    <t>matches a curve read off the BoE zero curve</t>
  </si>
  <si>
    <t>Methodology difference (curve interpolation); document, no booking change</t>
  </si>
  <si>
    <t>PRIOR_DAY</t>
  </si>
  <si>
    <t>matches a mark off 2026-10-14 curves and spot</t>
  </si>
  <si>
    <t>Ask the dealer for the curve/spot snapshot date; re-request today's mark</t>
  </si>
  <si>
    <t>DIRECTION</t>
  </si>
  <si>
    <t>matches the opposite direction</t>
  </si>
  <si>
    <t>Booking break: confirm direction against the confirmation; escalate to operations</t>
  </si>
  <si>
    <t>SPOT_SNAPSHOT</t>
  </si>
  <si>
    <t>gap equals spot +0.250% from ours</t>
  </si>
  <si>
    <t>Ask for the spot fixing time used; align snapshot times</t>
  </si>
  <si>
    <t>VOL</t>
  </si>
  <si>
    <t>dealer vol about +1.53 pts from ours</t>
  </si>
  <si>
    <t>Request the dealer's vol for this expiry/strike and compare with our surface</t>
  </si>
  <si>
    <t>gap = 0.40 vol pts against us (bid/offer side)</t>
  </si>
  <si>
    <t>matches a notional of 15,000,000 (booked 12,000,000)</t>
  </si>
  <si>
    <t>dealer normal vol about +6.0bp from ours</t>
  </si>
  <si>
    <t>gap = 1.5bp normal vol against us (bid/offer side)</t>
  </si>
  <si>
    <t>x_tolerance</t>
  </si>
  <si>
    <t>owner</t>
  </si>
  <si>
    <t>raised</t>
  </si>
  <si>
    <t>resolution</t>
  </si>
  <si>
    <t>Open</t>
  </si>
  <si>
    <t>UNEXPLAINED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</si>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</sst>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00000"/>
    <numFmt numFmtId="166" formatCode="#,##0;[Red]\-#,##0"/>
    <numFmt numFmtId="167" formatCode="0.0"/>
  </numFmts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FFF2CC"/>
        <bgColor indexed="64"/>
      </patternFill>
    </fill>
    <fill>
      <patternFill patternType="solid">
        <fgColor rgb="FFFCE4D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2" borderId="0" xfId="0" applyFill="1"/>
    <xf numFmtId="3" fontId="0" fillId="0" borderId="0" xfId="0" applyNumberFormat="1"/>
    <xf numFmtId="165" fontId="0" fillId="0" borderId="0" xfId="0" applyNumberFormat="1"/>
    <xf numFmtId="4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166" fontId="0" fillId="5" borderId="0" xfId="0" applyNumberFormat="1" applyFill="1"/>
    <xf numFmtId="167" fontId="0" fillId="5" borderId="0" xfId="0" applyNumberFormat="1" applyFill="1"/>
    <xf numFmtId="164" fontId="0" fillId="5" borderId="0" xfId="0" applyNumberFormat="1" applyFill="1"/>
    <xf numFmtId="0" fontId="0" fillId="6" borderId="0" xfId="0" applyFill="1"/>
    <xf numFmtId="166" fontId="0" fillId="6" borderId="0" xfId="0" applyNumberFormat="1" applyFill="1"/>
    <xf numFmtId="167" fontId="0" fillId="6" borderId="0" xfId="0" applyNumberFormat="1" applyFill="1"/>
    <xf numFmtId="164" fontId="0" fillId="6" borderId="0" xfId="0" applyNumberFormat="1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4A87A23-7815-B741-B73F-F7D6BD041E50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84f286b6-93ee-42bd-b176-1f68791881c4&quot;"/>
  </we:properties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0" customWidth="1"/>
    <col min="2" max="2" width="9" customWidth="1"/>
    <col min="3" max="3" width="12" customWidth="1"/>
    <col min="4" max="4" width="7" customWidth="1"/>
    <col min="5" max="5" width="10" customWidth="1"/>
    <col min="6" max="6" width="35" customWidth="1"/>
  </cols>
  <sheetData>
    <row r="1" spans="1: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">
      <c r="A2" t="s">
        <v>6</v>
      </c>
      <c r="B2" t="s">
        <v>6</v>
      </c>
      <c r="C2" s="2">
        <v>46282</v>
      </c>
      <c r="D2" t="s">
        <v>7</v>
      </c>
      <c r="E2" s="3" t="s">
        <v>8</v>
      </c>
      <c r="F2" t="s">
        <v>9</v>
      </c>
    </row>
    <row r="3" spans="1:6" x14ac:dyDescent="0.2">
      <c r="A3" t="s">
        <v>10</v>
      </c>
      <c r="B3" t="s">
        <v>11</v>
      </c>
      <c r="C3" s="2">
        <v>46288</v>
      </c>
      <c r="D3" t="s">
        <v>7</v>
      </c>
      <c r="E3" s="3" t="s">
        <v>8</v>
      </c>
      <c r="F3" t="s">
        <v>12</v>
      </c>
    </row>
    <row r="4" spans="1:6" x14ac:dyDescent="0.2">
      <c r="A4" t="s">
        <v>10</v>
      </c>
      <c r="B4" t="s">
        <v>13</v>
      </c>
      <c r="C4" s="2">
        <v>46288</v>
      </c>
      <c r="D4" t="s">
        <v>7</v>
      </c>
      <c r="E4" s="3" t="s">
        <v>8</v>
      </c>
      <c r="F4" t="s">
        <v>12</v>
      </c>
    </row>
    <row r="5" spans="1:6" x14ac:dyDescent="0.2">
      <c r="A5" t="s">
        <v>10</v>
      </c>
      <c r="B5" t="s">
        <v>14</v>
      </c>
      <c r="C5" s="2">
        <v>46288</v>
      </c>
      <c r="D5" t="s">
        <v>7</v>
      </c>
      <c r="E5" s="3" t="s">
        <v>8</v>
      </c>
      <c r="F5" t="s">
        <v>12</v>
      </c>
    </row>
    <row r="6" spans="1:6" x14ac:dyDescent="0.2">
      <c r="A6" t="s">
        <v>10</v>
      </c>
      <c r="B6" t="s">
        <v>15</v>
      </c>
      <c r="C6" s="2">
        <v>46288</v>
      </c>
      <c r="D6" t="s">
        <v>7</v>
      </c>
      <c r="E6" s="3" t="s">
        <v>8</v>
      </c>
      <c r="F6" t="s">
        <v>16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30" customWidth="1"/>
    <col min="2" max="2" width="9" customWidth="1"/>
    <col min="3" max="3" width="10" customWidth="1"/>
    <col min="4" max="4" width="8" customWidth="1"/>
    <col min="5" max="5" width="13" customWidth="1"/>
    <col min="6" max="6" width="12" customWidth="1"/>
  </cols>
  <sheetData>
    <row r="1" spans="1:6" x14ac:dyDescent="0.2">
      <c r="A1" s="1" t="s">
        <v>17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22</v>
      </c>
    </row>
    <row r="2" spans="1:6" x14ac:dyDescent="0.2">
      <c r="A2" t="s">
        <v>23</v>
      </c>
      <c r="B2" s="4">
        <v>0.25</v>
      </c>
      <c r="C2" s="4">
        <v>3.9523000000000001</v>
      </c>
      <c r="D2" s="5">
        <v>0.99019464095344878</v>
      </c>
      <c r="E2" s="5">
        <v>0.99019464095345067</v>
      </c>
      <c r="F2" s="5">
        <v>-1.8873791418627661E-9</v>
      </c>
    </row>
    <row r="3" spans="1:6" x14ac:dyDescent="0.2">
      <c r="A3" t="s">
        <v>23</v>
      </c>
      <c r="B3" s="4">
        <v>1</v>
      </c>
      <c r="C3" s="4">
        <v>4.3895</v>
      </c>
      <c r="D3" s="5">
        <v>0.95705465144028856</v>
      </c>
      <c r="E3" s="5">
        <v>0.95705465144028856</v>
      </c>
      <c r="F3" s="5">
        <v>0</v>
      </c>
    </row>
    <row r="4" spans="1:6" x14ac:dyDescent="0.2">
      <c r="A4" t="s">
        <v>23</v>
      </c>
      <c r="B4" s="4">
        <v>2</v>
      </c>
      <c r="C4" s="4">
        <v>4.6222000000000003</v>
      </c>
      <c r="D4" s="5">
        <v>0.91170089036749913</v>
      </c>
      <c r="E4" s="5">
        <v>0.91170089036749924</v>
      </c>
      <c r="F4" s="5">
        <v>-1.1102230246251571E-10</v>
      </c>
    </row>
    <row r="5" spans="1:6" x14ac:dyDescent="0.2">
      <c r="A5" t="s">
        <v>23</v>
      </c>
      <c r="B5" s="4">
        <v>5</v>
      </c>
      <c r="C5" s="4">
        <v>4.6852999999999998</v>
      </c>
      <c r="D5" s="5">
        <v>0.79115031231715782</v>
      </c>
      <c r="E5" s="5">
        <v>0.7911503123171727</v>
      </c>
      <c r="F5" s="5">
        <v>-1.4876988529977099E-8</v>
      </c>
    </row>
    <row r="6" spans="1:6" x14ac:dyDescent="0.2">
      <c r="A6" t="s">
        <v>23</v>
      </c>
      <c r="B6" s="4">
        <v>10</v>
      </c>
      <c r="C6" s="4">
        <v>4.8611000000000004</v>
      </c>
      <c r="D6" s="5">
        <v>0.61501308267304533</v>
      </c>
      <c r="E6" s="5">
        <v>0.61501308267304422</v>
      </c>
      <c r="F6" s="5">
        <v>1.110223024625157E-9</v>
      </c>
    </row>
    <row r="7" spans="1:6" x14ac:dyDescent="0.2">
      <c r="A7" t="s">
        <v>23</v>
      </c>
      <c r="B7" s="4">
        <v>20</v>
      </c>
      <c r="C7" s="4">
        <v>5.1802999999999999</v>
      </c>
      <c r="D7" s="5">
        <v>0.35484837172482209</v>
      </c>
      <c r="E7" s="5">
        <v>0.35484837172482148</v>
      </c>
      <c r="F7" s="5">
        <v>6.6613381477509392E-10</v>
      </c>
    </row>
    <row r="8" spans="1:6" x14ac:dyDescent="0.2">
      <c r="A8" t="s">
        <v>24</v>
      </c>
      <c r="B8" s="4">
        <v>0.25</v>
      </c>
      <c r="C8" s="4">
        <v>4.3018000000000001</v>
      </c>
      <c r="D8" s="5">
        <v>0.98933238384778355</v>
      </c>
      <c r="E8" s="5">
        <v>0.98933238384778621</v>
      </c>
      <c r="F8" s="5">
        <v>-2.6645352591003761E-9</v>
      </c>
    </row>
    <row r="9" spans="1:6" x14ac:dyDescent="0.2">
      <c r="A9" t="s">
        <v>24</v>
      </c>
      <c r="B9" s="4">
        <v>1</v>
      </c>
      <c r="C9" s="4">
        <v>4.4482999999999997</v>
      </c>
      <c r="D9" s="5">
        <v>0.95649210684935604</v>
      </c>
      <c r="E9" s="5">
        <v>0.95649210684935571</v>
      </c>
      <c r="F9" s="5">
        <v>3.3306690738754701E-10</v>
      </c>
    </row>
    <row r="10" spans="1:6" x14ac:dyDescent="0.2">
      <c r="A10" t="s">
        <v>24</v>
      </c>
      <c r="B10" s="4">
        <v>2</v>
      </c>
      <c r="C10" s="4">
        <v>4.7247000000000003</v>
      </c>
      <c r="D10" s="5">
        <v>0.90983384827227265</v>
      </c>
      <c r="E10" s="5">
        <v>0.90983384827227309</v>
      </c>
      <c r="F10" s="5">
        <v>-4.4408920985006262E-10</v>
      </c>
    </row>
    <row r="11" spans="1:6" x14ac:dyDescent="0.2">
      <c r="A11" t="s">
        <v>24</v>
      </c>
      <c r="B11" s="4">
        <v>5</v>
      </c>
      <c r="C11" s="4">
        <v>4.8659999999999997</v>
      </c>
      <c r="D11" s="5">
        <v>0.78403662076191338</v>
      </c>
      <c r="E11" s="5">
        <v>0.78403662076191316</v>
      </c>
      <c r="F11" s="5">
        <v>2.2204460492503131E-10</v>
      </c>
    </row>
    <row r="12" spans="1:6" x14ac:dyDescent="0.2">
      <c r="A12" t="s">
        <v>24</v>
      </c>
      <c r="B12" s="4">
        <v>10</v>
      </c>
      <c r="C12" s="4">
        <v>5.0734000000000004</v>
      </c>
      <c r="D12" s="5">
        <v>0.60209543148296363</v>
      </c>
      <c r="E12" s="5">
        <v>0.60209543148296363</v>
      </c>
      <c r="F12" s="5">
        <v>0</v>
      </c>
    </row>
    <row r="13" spans="1:6" x14ac:dyDescent="0.2">
      <c r="A13" t="s">
        <v>24</v>
      </c>
      <c r="B13" s="4">
        <v>20</v>
      </c>
      <c r="C13" s="4">
        <v>5.5594000000000001</v>
      </c>
      <c r="D13" s="5">
        <v>0.32893847240571222</v>
      </c>
      <c r="E13" s="5">
        <v>0.32893847240575508</v>
      </c>
      <c r="F13" s="5">
        <v>-4.29101199017623E-8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27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3" customWidth="1"/>
    <col min="2" max="2" width="9" customWidth="1"/>
    <col min="3" max="3" width="14" customWidth="1"/>
    <col min="4" max="4" width="5" customWidth="1"/>
    <col min="5" max="5" width="11" customWidth="1"/>
    <col min="6" max="6" width="13" customWidth="1"/>
    <col min="7" max="7" width="14" customWidth="1"/>
    <col min="8" max="8" width="20" customWidth="1"/>
    <col min="9" max="10" width="11" customWidth="1"/>
    <col min="11" max="12" width="10" customWidth="1"/>
    <col min="13" max="13" width="15" customWidth="1"/>
    <col min="14" max="15" width="10" customWidth="1"/>
  </cols>
  <sheetData>
    <row r="1" spans="1:15" x14ac:dyDescent="0.2">
      <c r="A1" s="1" t="s">
        <v>25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34</v>
      </c>
      <c r="K1" s="1" t="s">
        <v>35</v>
      </c>
      <c r="L1" s="1" t="s">
        <v>36</v>
      </c>
      <c r="M1" s="1" t="s">
        <v>37</v>
      </c>
      <c r="N1" s="1" t="s">
        <v>38</v>
      </c>
      <c r="O1" s="1" t="s">
        <v>39</v>
      </c>
    </row>
    <row r="2" spans="1:15" x14ac:dyDescent="0.2">
      <c r="A2" t="s">
        <v>40</v>
      </c>
      <c r="B2" t="s">
        <v>41</v>
      </c>
      <c r="C2" t="s">
        <v>42</v>
      </c>
      <c r="D2" t="s">
        <v>43</v>
      </c>
      <c r="E2" s="4">
        <v>952193.94008386135</v>
      </c>
      <c r="F2" s="4">
        <v>952193.94008371141</v>
      </c>
      <c r="G2" s="4">
        <v>1.4994293451309199E-7</v>
      </c>
      <c r="H2" s="6">
        <v>9.3748199688279937E-12</v>
      </c>
      <c r="I2" t="s">
        <v>44</v>
      </c>
      <c r="J2" s="4">
        <v>1261339.0474482831</v>
      </c>
      <c r="K2" s="4">
        <v>15994.220156937839</v>
      </c>
      <c r="L2" s="4">
        <v>0</v>
      </c>
      <c r="M2" s="4"/>
      <c r="N2" s="4"/>
      <c r="O2" s="4"/>
    </row>
    <row r="3" spans="1:15" x14ac:dyDescent="0.2">
      <c r="A3" t="s">
        <v>45</v>
      </c>
      <c r="B3" t="s">
        <v>41</v>
      </c>
      <c r="C3" t="s">
        <v>46</v>
      </c>
      <c r="D3" t="s">
        <v>43</v>
      </c>
      <c r="E3" s="4">
        <v>-385085.31361760391</v>
      </c>
      <c r="F3" s="4">
        <v>-385085.31361760153</v>
      </c>
      <c r="G3" s="4">
        <v>-2.3283064365386959E-9</v>
      </c>
      <c r="H3" s="6">
        <v>-4.2960832219599562E-13</v>
      </c>
      <c r="I3" t="s">
        <v>44</v>
      </c>
      <c r="J3" s="4">
        <v>-510109.4663782182</v>
      </c>
      <c r="K3" s="4">
        <v>-5419.6027317098342</v>
      </c>
      <c r="L3" s="4">
        <v>0</v>
      </c>
      <c r="M3" s="4"/>
      <c r="N3" s="4"/>
      <c r="O3" s="4"/>
    </row>
    <row r="4" spans="1:15" x14ac:dyDescent="0.2">
      <c r="A4" t="s">
        <v>47</v>
      </c>
      <c r="B4" t="s">
        <v>41</v>
      </c>
      <c r="C4" t="s">
        <v>48</v>
      </c>
      <c r="D4" t="s">
        <v>43</v>
      </c>
      <c r="E4" s="4">
        <v>4463.5685089239851</v>
      </c>
      <c r="F4" s="4">
        <v>4463.5685089221224</v>
      </c>
      <c r="G4" s="4">
        <v>1.862645149230957E-9</v>
      </c>
      <c r="H4" s="6">
        <v>2.3762582310757442E-13</v>
      </c>
      <c r="I4" t="s">
        <v>44</v>
      </c>
      <c r="J4" s="4">
        <v>5912.7379562723108</v>
      </c>
      <c r="K4" s="4">
        <v>7838.5636917403899</v>
      </c>
      <c r="L4" s="4">
        <v>0</v>
      </c>
      <c r="M4" s="4"/>
      <c r="N4" s="4"/>
      <c r="O4" s="4"/>
    </row>
    <row r="5" spans="1:15" x14ac:dyDescent="0.2">
      <c r="A5" t="s">
        <v>49</v>
      </c>
      <c r="B5" t="s">
        <v>41</v>
      </c>
      <c r="C5" t="s">
        <v>42</v>
      </c>
      <c r="D5" t="s">
        <v>43</v>
      </c>
      <c r="E5" s="4">
        <v>7558.7067590313964</v>
      </c>
      <c r="F5" s="4">
        <v>7558.7067593564279</v>
      </c>
      <c r="G5" s="4">
        <v>-3.25031578540802E-7</v>
      </c>
      <c r="H5" s="6">
        <v>-3.5602308447110282E-11</v>
      </c>
      <c r="I5" t="s">
        <v>44</v>
      </c>
      <c r="J5" s="4">
        <v>10012.76271779032</v>
      </c>
      <c r="K5" s="4">
        <v>-9129.508526775986</v>
      </c>
      <c r="L5" s="4">
        <v>0</v>
      </c>
      <c r="M5" s="4"/>
      <c r="N5" s="4"/>
      <c r="O5" s="4"/>
    </row>
    <row r="6" spans="1:15" x14ac:dyDescent="0.2">
      <c r="A6" t="s">
        <v>50</v>
      </c>
      <c r="B6" t="s">
        <v>41</v>
      </c>
      <c r="C6" t="s">
        <v>51</v>
      </c>
      <c r="D6" t="s">
        <v>43</v>
      </c>
      <c r="E6" s="4">
        <v>2750.5724733201791</v>
      </c>
      <c r="F6" s="4">
        <v>2750.572473310865</v>
      </c>
      <c r="G6" s="4">
        <v>9.3132257461547852E-9</v>
      </c>
      <c r="H6" s="6">
        <v>7.6523174478098083E-13</v>
      </c>
      <c r="I6" t="s">
        <v>44</v>
      </c>
      <c r="J6" s="4">
        <v>3643.5901525791942</v>
      </c>
      <c r="K6" s="4">
        <v>12170.464450374249</v>
      </c>
      <c r="L6" s="4">
        <v>0</v>
      </c>
      <c r="M6" s="4"/>
      <c r="N6" s="4"/>
      <c r="O6" s="4"/>
    </row>
    <row r="7" spans="1:15" x14ac:dyDescent="0.2">
      <c r="A7" t="s">
        <v>52</v>
      </c>
      <c r="B7" t="s">
        <v>41</v>
      </c>
      <c r="C7" t="s">
        <v>46</v>
      </c>
      <c r="D7" t="s">
        <v>43</v>
      </c>
      <c r="E7" s="4">
        <v>-288732.8057542555</v>
      </c>
      <c r="F7" s="4">
        <v>-288732.80575390998</v>
      </c>
      <c r="G7" s="4">
        <v>-3.4552067518234248E-7</v>
      </c>
      <c r="H7" s="6">
        <v>-2.5975265821182381E-11</v>
      </c>
      <c r="I7" t="s">
        <v>44</v>
      </c>
      <c r="J7" s="4">
        <v>-382474.56410515262</v>
      </c>
      <c r="K7" s="4">
        <v>-13301.911039561959</v>
      </c>
      <c r="L7" s="4">
        <v>0</v>
      </c>
      <c r="M7" s="4"/>
      <c r="N7" s="4"/>
      <c r="O7" s="4"/>
    </row>
    <row r="8" spans="1:15" x14ac:dyDescent="0.2">
      <c r="A8" t="s">
        <v>53</v>
      </c>
      <c r="B8" t="s">
        <v>41</v>
      </c>
      <c r="C8" t="s">
        <v>48</v>
      </c>
      <c r="D8" t="s">
        <v>54</v>
      </c>
      <c r="E8" s="4">
        <v>1680095.6080633809</v>
      </c>
      <c r="F8" s="4">
        <v>1680095.608063407</v>
      </c>
      <c r="G8" s="4">
        <v>-2.6077032089233398E-8</v>
      </c>
      <c r="H8" s="6">
        <v>-1.2958691513376499E-12</v>
      </c>
      <c r="I8" t="s">
        <v>44</v>
      </c>
      <c r="J8" s="4">
        <v>1680095.6080633809</v>
      </c>
      <c r="K8" s="4">
        <v>0</v>
      </c>
      <c r="L8" s="4">
        <v>20123.19844354317</v>
      </c>
      <c r="M8" s="4"/>
      <c r="N8" s="4"/>
      <c r="O8" s="4"/>
    </row>
    <row r="9" spans="1:15" x14ac:dyDescent="0.2">
      <c r="A9" t="s">
        <v>55</v>
      </c>
      <c r="B9" t="s">
        <v>41</v>
      </c>
      <c r="C9" t="s">
        <v>56</v>
      </c>
      <c r="D9" t="s">
        <v>54</v>
      </c>
      <c r="E9" s="4">
        <v>-13255.60541632352</v>
      </c>
      <c r="F9" s="4">
        <v>-13255.605416296519</v>
      </c>
      <c r="G9" s="4">
        <v>-2.700835466384888E-8</v>
      </c>
      <c r="H9" s="6">
        <v>-3.9477775899421637E-12</v>
      </c>
      <c r="I9" t="s">
        <v>44</v>
      </c>
      <c r="J9" s="4">
        <v>-13255.60541632352</v>
      </c>
      <c r="K9" s="4">
        <v>0</v>
      </c>
      <c r="L9" s="4">
        <v>-6841.407361108344</v>
      </c>
      <c r="M9" s="4"/>
      <c r="N9" s="4"/>
      <c r="O9" s="4"/>
    </row>
    <row r="10" spans="1:15" x14ac:dyDescent="0.2">
      <c r="A10" t="s">
        <v>57</v>
      </c>
      <c r="B10" t="s">
        <v>41</v>
      </c>
      <c r="C10" t="s">
        <v>51</v>
      </c>
      <c r="D10" t="s">
        <v>54</v>
      </c>
      <c r="E10" s="4">
        <v>-93948.403790874407</v>
      </c>
      <c r="F10" s="4">
        <v>-93948.403790871613</v>
      </c>
      <c r="G10" s="4">
        <v>-2.793967723846436E-9</v>
      </c>
      <c r="H10" s="6">
        <v>-2.2985580537239862E-13</v>
      </c>
      <c r="I10" t="s">
        <v>44</v>
      </c>
      <c r="J10" s="4">
        <v>-93948.403790874407</v>
      </c>
      <c r="K10" s="4">
        <v>0</v>
      </c>
      <c r="L10" s="4">
        <v>12155.306320498699</v>
      </c>
      <c r="M10" s="4"/>
      <c r="N10" s="4"/>
      <c r="O10" s="4"/>
    </row>
    <row r="11" spans="1:15" x14ac:dyDescent="0.2">
      <c r="A11" t="s">
        <v>58</v>
      </c>
      <c r="B11" t="s">
        <v>41</v>
      </c>
      <c r="C11" t="s">
        <v>42</v>
      </c>
      <c r="D11" t="s">
        <v>54</v>
      </c>
      <c r="E11" s="4">
        <v>-256601.69830602591</v>
      </c>
      <c r="F11" s="4">
        <v>-256600.90427702479</v>
      </c>
      <c r="G11" s="4">
        <v>-0.79402900114655495</v>
      </c>
      <c r="H11" s="6">
        <v>-7.9801336708708499E-5</v>
      </c>
      <c r="I11" t="s">
        <v>44</v>
      </c>
      <c r="J11" s="4">
        <v>-256601.69830602591</v>
      </c>
      <c r="K11" s="4">
        <v>0</v>
      </c>
      <c r="L11" s="4">
        <v>-9950.0714385891333</v>
      </c>
      <c r="M11" s="4"/>
      <c r="N11" s="4"/>
      <c r="O11" s="4"/>
    </row>
    <row r="12" spans="1:15" x14ac:dyDescent="0.2">
      <c r="A12" t="s">
        <v>59</v>
      </c>
      <c r="B12" t="s">
        <v>60</v>
      </c>
      <c r="C12" t="s">
        <v>46</v>
      </c>
      <c r="D12" t="s">
        <v>54</v>
      </c>
      <c r="E12" s="4">
        <v>100606.2028204518</v>
      </c>
      <c r="F12" s="4">
        <v>100606.2028203564</v>
      </c>
      <c r="G12" s="4">
        <v>9.5315044745802879E-8</v>
      </c>
      <c r="H12" s="6">
        <v>7.2205490139802864E-11</v>
      </c>
      <c r="I12" t="s">
        <v>44</v>
      </c>
      <c r="J12" s="4">
        <v>100606.2028204518</v>
      </c>
      <c r="K12" s="4">
        <v>-104.8804745874077</v>
      </c>
      <c r="L12" s="4">
        <v>103.97077343103589</v>
      </c>
      <c r="M12" s="4">
        <v>132005.25965720299</v>
      </c>
      <c r="N12" s="4"/>
      <c r="O12" s="4"/>
    </row>
    <row r="13" spans="1:15" x14ac:dyDescent="0.2">
      <c r="A13" t="s">
        <v>61</v>
      </c>
      <c r="B13" t="s">
        <v>60</v>
      </c>
      <c r="C13" t="s">
        <v>48</v>
      </c>
      <c r="D13" t="s">
        <v>54</v>
      </c>
      <c r="E13" s="4">
        <v>301433.47277468338</v>
      </c>
      <c r="F13" s="4">
        <v>301433.4727747009</v>
      </c>
      <c r="G13" s="4">
        <v>-1.7462298274040219E-8</v>
      </c>
      <c r="H13" s="6">
        <v>-5.3285246994815709E-12</v>
      </c>
      <c r="I13" t="s">
        <v>44</v>
      </c>
      <c r="J13" s="4">
        <v>301433.47277468338</v>
      </c>
      <c r="K13" s="4">
        <v>826.00734380318318</v>
      </c>
      <c r="L13" s="4">
        <v>-833.93444758397527</v>
      </c>
      <c r="M13" s="4">
        <v>-327713.5653652724</v>
      </c>
      <c r="N13" s="4"/>
      <c r="O13" s="4"/>
    </row>
    <row r="14" spans="1:15" x14ac:dyDescent="0.2">
      <c r="A14" t="s">
        <v>62</v>
      </c>
      <c r="B14" t="s">
        <v>60</v>
      </c>
      <c r="C14" t="s">
        <v>56</v>
      </c>
      <c r="D14" t="s">
        <v>54</v>
      </c>
      <c r="E14" s="4">
        <v>530456.72376701888</v>
      </c>
      <c r="F14" s="4">
        <v>530456.7237670446</v>
      </c>
      <c r="G14" s="4">
        <v>-2.5727786123752591E-8</v>
      </c>
      <c r="H14" s="6">
        <v>-1.322403642689215E-11</v>
      </c>
      <c r="I14" t="s">
        <v>44</v>
      </c>
      <c r="J14" s="4">
        <v>530456.72376701888</v>
      </c>
      <c r="K14" s="4">
        <v>-970.07670524390414</v>
      </c>
      <c r="L14" s="4">
        <v>943.04483755759429</v>
      </c>
      <c r="M14" s="4">
        <v>194553.2006508472</v>
      </c>
      <c r="N14" s="4"/>
      <c r="O14" s="4"/>
    </row>
    <row r="15" spans="1:15" x14ac:dyDescent="0.2">
      <c r="A15" t="s">
        <v>63</v>
      </c>
      <c r="B15" t="s">
        <v>60</v>
      </c>
      <c r="C15" t="s">
        <v>42</v>
      </c>
      <c r="D15" t="s">
        <v>54</v>
      </c>
      <c r="E15" s="4">
        <v>150380.5719168924</v>
      </c>
      <c r="F15" s="4">
        <v>150380.57191687869</v>
      </c>
      <c r="G15" s="4">
        <v>1.364969648420811E-8</v>
      </c>
      <c r="H15" s="6">
        <v>1.3466080145196929E-11</v>
      </c>
      <c r="I15" t="s">
        <v>44</v>
      </c>
      <c r="J15" s="4">
        <v>150380.5719168924</v>
      </c>
      <c r="K15" s="4">
        <v>1013.584790448629</v>
      </c>
      <c r="L15" s="4">
        <v>-1028.785769041802</v>
      </c>
      <c r="M15" s="4">
        <v>-101363.5470532727</v>
      </c>
      <c r="N15" s="4"/>
      <c r="O15" s="4"/>
    </row>
    <row r="16" spans="1:15" x14ac:dyDescent="0.2">
      <c r="A16" t="s">
        <v>64</v>
      </c>
      <c r="B16" t="s">
        <v>60</v>
      </c>
      <c r="C16" t="s">
        <v>51</v>
      </c>
      <c r="D16" t="s">
        <v>54</v>
      </c>
      <c r="E16" s="4">
        <v>63988.089278099302</v>
      </c>
      <c r="F16" s="4">
        <v>63988.089278144253</v>
      </c>
      <c r="G16" s="4">
        <v>-4.4943590182811022E-8</v>
      </c>
      <c r="H16" s="6">
        <v>-2.8465616964400489E-11</v>
      </c>
      <c r="I16" t="s">
        <v>44</v>
      </c>
      <c r="J16" s="4">
        <v>63988.089278099302</v>
      </c>
      <c r="K16" s="4">
        <v>-255.2130030059125</v>
      </c>
      <c r="L16" s="4">
        <v>254.10828090075671</v>
      </c>
      <c r="M16" s="4">
        <v>157887.28640246269</v>
      </c>
      <c r="N16" s="4"/>
      <c r="O16" s="4"/>
    </row>
    <row r="17" spans="1:15" x14ac:dyDescent="0.2">
      <c r="A17" t="s">
        <v>65</v>
      </c>
      <c r="B17" t="s">
        <v>66</v>
      </c>
      <c r="C17" t="s">
        <v>46</v>
      </c>
      <c r="D17" t="s">
        <v>54</v>
      </c>
      <c r="E17" s="4">
        <v>119977.6623178743</v>
      </c>
      <c r="F17" s="4">
        <v>120225.85905570201</v>
      </c>
      <c r="G17" s="4">
        <v>-248.19673782770411</v>
      </c>
      <c r="H17" s="6">
        <v>-1.5671713935143529E-2</v>
      </c>
      <c r="I17" t="s">
        <v>44</v>
      </c>
      <c r="J17" s="4">
        <v>119977.6623178743</v>
      </c>
      <c r="K17" s="4">
        <v>-59.317782378260738</v>
      </c>
      <c r="L17" s="4">
        <v>58.185346989877871</v>
      </c>
      <c r="M17" s="4">
        <v>81776.101154070406</v>
      </c>
      <c r="N17" s="4">
        <v>15837.242745423489</v>
      </c>
      <c r="O17" s="4"/>
    </row>
    <row r="18" spans="1:15" x14ac:dyDescent="0.2">
      <c r="A18" t="s">
        <v>67</v>
      </c>
      <c r="B18" t="s">
        <v>66</v>
      </c>
      <c r="C18" t="s">
        <v>48</v>
      </c>
      <c r="D18" t="s">
        <v>54</v>
      </c>
      <c r="E18" s="4">
        <v>129899.4198868644</v>
      </c>
      <c r="F18" s="4">
        <v>129841.3194287837</v>
      </c>
      <c r="G18" s="4">
        <v>58.100458080734818</v>
      </c>
      <c r="H18" s="6">
        <v>1.690839978827537E-3</v>
      </c>
      <c r="I18" t="s">
        <v>44</v>
      </c>
      <c r="J18" s="4">
        <v>129899.4198868644</v>
      </c>
      <c r="K18" s="4">
        <v>106.9906548367871</v>
      </c>
      <c r="L18" s="4">
        <v>-110.3191086637962</v>
      </c>
      <c r="M18" s="4">
        <v>-36274.475331875357</v>
      </c>
      <c r="N18" s="4">
        <v>34361.890426214581</v>
      </c>
      <c r="O18" s="4"/>
    </row>
    <row r="19" spans="1:15" x14ac:dyDescent="0.2">
      <c r="A19" t="s">
        <v>68</v>
      </c>
      <c r="B19" t="s">
        <v>66</v>
      </c>
      <c r="C19" t="s">
        <v>56</v>
      </c>
      <c r="D19" t="s">
        <v>54</v>
      </c>
      <c r="E19" s="4">
        <v>-150927.0613590237</v>
      </c>
      <c r="F19" s="4">
        <v>-151339.57974429009</v>
      </c>
      <c r="G19" s="4">
        <v>412.5183852663904</v>
      </c>
      <c r="H19" s="6">
        <v>9.3029541055606301E-3</v>
      </c>
      <c r="I19" t="s">
        <v>44</v>
      </c>
      <c r="J19" s="4">
        <v>-150927.0613590237</v>
      </c>
      <c r="K19" s="4">
        <v>234.75268630124631</v>
      </c>
      <c r="L19" s="4">
        <v>-227.3662585262791</v>
      </c>
      <c r="M19" s="4">
        <v>-53515.922326478438</v>
      </c>
      <c r="N19" s="4">
        <v>-44342.730339797847</v>
      </c>
      <c r="O19" s="4"/>
    </row>
    <row r="20" spans="1:15" x14ac:dyDescent="0.2">
      <c r="A20" t="s">
        <v>69</v>
      </c>
      <c r="B20" t="s">
        <v>66</v>
      </c>
      <c r="C20" t="s">
        <v>42</v>
      </c>
      <c r="D20" t="s">
        <v>54</v>
      </c>
      <c r="E20" s="4">
        <v>-158135.03367200721</v>
      </c>
      <c r="F20" s="4">
        <v>-158011.14262607199</v>
      </c>
      <c r="G20" s="4">
        <v>-123.89104593518999</v>
      </c>
      <c r="H20" s="6">
        <v>-5.15846425862998E-3</v>
      </c>
      <c r="I20" t="s">
        <v>44</v>
      </c>
      <c r="J20" s="4">
        <v>-158135.03367200721</v>
      </c>
      <c r="K20" s="4">
        <v>-221.5824099538149</v>
      </c>
      <c r="L20" s="4">
        <v>237.25915496805101</v>
      </c>
      <c r="M20" s="4">
        <v>20645.861460256889</v>
      </c>
      <c r="N20" s="4">
        <v>-24017.040677935001</v>
      </c>
      <c r="O20" s="4"/>
    </row>
    <row r="21" spans="1:15" x14ac:dyDescent="0.2">
      <c r="A21" t="s">
        <v>70</v>
      </c>
      <c r="B21" t="s">
        <v>66</v>
      </c>
      <c r="C21" t="s">
        <v>51</v>
      </c>
      <c r="D21" t="s">
        <v>54</v>
      </c>
      <c r="E21" s="4">
        <v>492407.26114261447</v>
      </c>
      <c r="F21" s="4">
        <v>492917.96309806441</v>
      </c>
      <c r="G21" s="4">
        <v>-510.70195544994198</v>
      </c>
      <c r="H21" s="6">
        <v>-6.998074243598721E-3</v>
      </c>
      <c r="I21" t="s">
        <v>44</v>
      </c>
      <c r="J21" s="4">
        <v>492407.26114261447</v>
      </c>
      <c r="K21" s="4">
        <v>-1062.6186102133361</v>
      </c>
      <c r="L21" s="4">
        <v>989.63805261754896</v>
      </c>
      <c r="M21" s="4">
        <v>74106.193755904504</v>
      </c>
      <c r="N21" s="4">
        <v>72977.498905086832</v>
      </c>
      <c r="O21" s="4"/>
    </row>
    <row r="22" spans="1:15" x14ac:dyDescent="0.2">
      <c r="A22" t="s">
        <v>71</v>
      </c>
      <c r="B22" t="s">
        <v>72</v>
      </c>
      <c r="C22" t="s">
        <v>42</v>
      </c>
      <c r="D22" t="s">
        <v>43</v>
      </c>
      <c r="E22" s="4">
        <v>551987.25589951663</v>
      </c>
      <c r="F22" s="4">
        <v>551987.25589938834</v>
      </c>
      <c r="G22" s="4">
        <v>1.2828968465328219E-7</v>
      </c>
      <c r="H22" s="6">
        <v>2.590124082387129E-11</v>
      </c>
      <c r="I22" t="s">
        <v>44</v>
      </c>
      <c r="J22" s="4">
        <v>731198.81386618398</v>
      </c>
      <c r="K22" s="4">
        <v>6880.1807027186733</v>
      </c>
      <c r="L22" s="4">
        <v>0</v>
      </c>
      <c r="M22" s="4"/>
      <c r="N22" s="4"/>
      <c r="O22" s="4">
        <v>4953.0323865815299</v>
      </c>
    </row>
    <row r="23" spans="1:15" x14ac:dyDescent="0.2">
      <c r="A23" t="s">
        <v>73</v>
      </c>
      <c r="B23" t="s">
        <v>72</v>
      </c>
      <c r="C23" t="s">
        <v>48</v>
      </c>
      <c r="D23" t="s">
        <v>43</v>
      </c>
      <c r="E23" s="4">
        <v>-44139.169740996069</v>
      </c>
      <c r="F23" s="4">
        <v>-44139.169740995712</v>
      </c>
      <c r="G23" s="4">
        <v>-3.637978807091713E-10</v>
      </c>
      <c r="H23" s="6">
        <v>-4.1531174872376268E-13</v>
      </c>
      <c r="I23" t="s">
        <v>44</v>
      </c>
      <c r="J23" s="4">
        <v>-58469.662505269349</v>
      </c>
      <c r="K23" s="4">
        <v>1085.833288045302</v>
      </c>
      <c r="L23" s="4">
        <v>0</v>
      </c>
      <c r="M23" s="4"/>
      <c r="N23" s="4"/>
      <c r="O23" s="4">
        <v>-875.96337408490945</v>
      </c>
    </row>
    <row r="24" spans="1:15" x14ac:dyDescent="0.2">
      <c r="A24" t="s">
        <v>74</v>
      </c>
      <c r="B24" t="s">
        <v>72</v>
      </c>
      <c r="C24" t="s">
        <v>56</v>
      </c>
      <c r="D24" t="s">
        <v>54</v>
      </c>
      <c r="E24" s="4">
        <v>1246935.6718539649</v>
      </c>
      <c r="F24" s="4">
        <v>1246935.671854194</v>
      </c>
      <c r="G24" s="4">
        <v>-2.298038452863693E-7</v>
      </c>
      <c r="H24" s="6">
        <v>-1.486943668694637E-11</v>
      </c>
      <c r="I24" t="s">
        <v>44</v>
      </c>
      <c r="J24" s="4">
        <v>1246935.6718539649</v>
      </c>
      <c r="K24" s="4">
        <v>0</v>
      </c>
      <c r="L24" s="4">
        <v>-12635.3170910764</v>
      </c>
      <c r="M24" s="4"/>
      <c r="N24" s="4"/>
      <c r="O24" s="4">
        <v>15454.77815498621</v>
      </c>
    </row>
    <row r="25" spans="1:15" x14ac:dyDescent="0.2">
      <c r="A25" t="s">
        <v>75</v>
      </c>
      <c r="B25" t="s">
        <v>72</v>
      </c>
      <c r="C25" t="s">
        <v>51</v>
      </c>
      <c r="D25" t="s">
        <v>54</v>
      </c>
      <c r="E25" s="4">
        <v>-134735.90214110291</v>
      </c>
      <c r="F25" s="4">
        <v>-134735.902141131</v>
      </c>
      <c r="G25" s="4">
        <v>2.8114300221204761E-8</v>
      </c>
      <c r="H25" s="6">
        <v>1.4152719688199729E-11</v>
      </c>
      <c r="I25" t="s">
        <v>44</v>
      </c>
      <c r="J25" s="4">
        <v>-134735.90214110291</v>
      </c>
      <c r="K25" s="4">
        <v>0</v>
      </c>
      <c r="L25" s="4">
        <v>-3746.4029086731321</v>
      </c>
      <c r="M25" s="4"/>
      <c r="N25" s="4"/>
      <c r="O25" s="4">
        <v>-1986.494528302283</v>
      </c>
    </row>
    <row r="26" spans="1:15" x14ac:dyDescent="0.2">
      <c r="A26" t="s">
        <v>76</v>
      </c>
      <c r="B26" t="s">
        <v>77</v>
      </c>
      <c r="C26" t="s">
        <v>46</v>
      </c>
      <c r="D26" t="s">
        <v>54</v>
      </c>
      <c r="E26" s="4">
        <v>-110587.80315127219</v>
      </c>
      <c r="F26" s="4">
        <v>-110587.80315127219</v>
      </c>
      <c r="G26" s="4">
        <v>0</v>
      </c>
      <c r="H26" s="6">
        <v>0</v>
      </c>
      <c r="I26" t="s">
        <v>44</v>
      </c>
      <c r="J26" s="4">
        <v>-110587.80315127219</v>
      </c>
      <c r="K26" s="4">
        <v>-3.7252902984619141E-9</v>
      </c>
      <c r="L26" s="4">
        <v>0</v>
      </c>
      <c r="M26" s="4">
        <v>266481.22045405582</v>
      </c>
      <c r="N26" s="4"/>
      <c r="O26" s="4"/>
    </row>
    <row r="27" spans="1:15" x14ac:dyDescent="0.2">
      <c r="A27" t="s">
        <v>78</v>
      </c>
      <c r="B27" t="s">
        <v>77</v>
      </c>
      <c r="C27" t="s">
        <v>56</v>
      </c>
      <c r="D27" t="s">
        <v>54</v>
      </c>
      <c r="E27" s="4">
        <v>431387.6903665252</v>
      </c>
      <c r="F27" s="4">
        <v>431387.69036652148</v>
      </c>
      <c r="G27" s="4">
        <v>3.7252902984619141E-9</v>
      </c>
      <c r="H27" s="6">
        <v>1.8696034249953059E-12</v>
      </c>
      <c r="I27" t="s">
        <v>44</v>
      </c>
      <c r="J27" s="4">
        <v>431387.6903665252</v>
      </c>
      <c r="K27" s="4">
        <v>-25.116227068006989</v>
      </c>
      <c r="L27" s="4">
        <v>0</v>
      </c>
      <c r="M27" s="4">
        <v>-199255.6415257566</v>
      </c>
      <c r="N27" s="4"/>
      <c r="O27" s="4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27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3" customWidth="1"/>
    <col min="2" max="2" width="14" customWidth="1"/>
    <col min="3" max="3" width="9" customWidth="1"/>
    <col min="4" max="4" width="5" customWidth="1"/>
    <col min="5" max="5" width="11" customWidth="1"/>
    <col min="6" max="6" width="13" customWidth="1"/>
    <col min="7" max="7" width="12" customWidth="1"/>
    <col min="8" max="8" width="11" customWidth="1"/>
    <col min="9" max="9" width="18" customWidth="1"/>
    <col min="10" max="10" width="15" customWidth="1"/>
    <col min="11" max="11" width="60" customWidth="1"/>
    <col min="12" max="12" width="10" customWidth="1"/>
    <col min="13" max="13" width="60" customWidth="1"/>
  </cols>
  <sheetData>
    <row r="1" spans="1:13" x14ac:dyDescent="0.2">
      <c r="A1" s="1" t="s">
        <v>25</v>
      </c>
      <c r="B1" s="1" t="s">
        <v>27</v>
      </c>
      <c r="C1" s="1" t="s">
        <v>26</v>
      </c>
      <c r="D1" s="1" t="s">
        <v>28</v>
      </c>
      <c r="E1" s="1" t="s">
        <v>79</v>
      </c>
      <c r="F1" s="1" t="s">
        <v>80</v>
      </c>
      <c r="G1" s="1" t="s">
        <v>81</v>
      </c>
      <c r="H1" s="1" t="s">
        <v>82</v>
      </c>
      <c r="I1" s="1" t="s">
        <v>83</v>
      </c>
      <c r="J1" s="1" t="s">
        <v>84</v>
      </c>
      <c r="K1" s="1" t="s">
        <v>5</v>
      </c>
      <c r="L1" s="1" t="s">
        <v>85</v>
      </c>
      <c r="M1" s="1" t="s">
        <v>86</v>
      </c>
    </row>
    <row r="2" spans="1:13" x14ac:dyDescent="0.2">
      <c r="A2" t="s">
        <v>40</v>
      </c>
      <c r="B2" t="s">
        <v>42</v>
      </c>
      <c r="C2" t="s">
        <v>41</v>
      </c>
      <c r="D2" t="s">
        <v>43</v>
      </c>
      <c r="E2" s="4">
        <v>952193.94008386135</v>
      </c>
      <c r="F2" s="4">
        <v>847658.25082347449</v>
      </c>
      <c r="G2" s="4">
        <v>-104535.68926038691</v>
      </c>
      <c r="H2" s="4">
        <v>3998.5550392344589</v>
      </c>
      <c r="I2" s="3" t="s">
        <v>87</v>
      </c>
      <c r="J2" t="s">
        <v>88</v>
      </c>
      <c r="K2" t="s">
        <v>89</v>
      </c>
      <c r="L2" s="4">
        <v>0</v>
      </c>
      <c r="M2" t="s">
        <v>90</v>
      </c>
    </row>
    <row r="3" spans="1:13" x14ac:dyDescent="0.2">
      <c r="A3" t="s">
        <v>45</v>
      </c>
      <c r="B3" t="s">
        <v>46</v>
      </c>
      <c r="C3" t="s">
        <v>41</v>
      </c>
      <c r="D3" t="s">
        <v>43</v>
      </c>
      <c r="E3" s="4">
        <v>-385085.31361760391</v>
      </c>
      <c r="F3" s="4">
        <v>-385017.51684435032</v>
      </c>
      <c r="G3" s="4">
        <v>67.796773253532592</v>
      </c>
      <c r="H3" s="4">
        <v>1354.900682927459</v>
      </c>
      <c r="I3" s="7" t="s">
        <v>91</v>
      </c>
      <c r="L3" s="4">
        <v>67.796773253532592</v>
      </c>
    </row>
    <row r="4" spans="1:13" x14ac:dyDescent="0.2">
      <c r="A4" t="s">
        <v>47</v>
      </c>
      <c r="B4" t="s">
        <v>48</v>
      </c>
      <c r="C4" t="s">
        <v>41</v>
      </c>
      <c r="D4" t="s">
        <v>43</v>
      </c>
      <c r="E4" s="4">
        <v>4463.5685089239851</v>
      </c>
      <c r="F4" s="4">
        <v>446.35685089242179</v>
      </c>
      <c r="G4" s="4">
        <v>-4017.2116580315628</v>
      </c>
      <c r="H4" s="4">
        <v>1959.640922935097</v>
      </c>
      <c r="I4" s="3" t="s">
        <v>87</v>
      </c>
      <c r="J4" t="s">
        <v>92</v>
      </c>
      <c r="K4" t="s">
        <v>93</v>
      </c>
      <c r="L4" s="4">
        <v>0</v>
      </c>
      <c r="M4" t="s">
        <v>94</v>
      </c>
    </row>
    <row r="5" spans="1:13" x14ac:dyDescent="0.2">
      <c r="A5" t="s">
        <v>49</v>
      </c>
      <c r="B5" t="s">
        <v>42</v>
      </c>
      <c r="C5" t="s">
        <v>41</v>
      </c>
      <c r="D5" t="s">
        <v>43</v>
      </c>
      <c r="E5" s="4">
        <v>7558.7067590313964</v>
      </c>
      <c r="F5" s="4">
        <v>7921.3434373218806</v>
      </c>
      <c r="G5" s="4">
        <v>362.63667829048433</v>
      </c>
      <c r="H5" s="4">
        <v>2282.377131693996</v>
      </c>
      <c r="I5" s="7" t="s">
        <v>91</v>
      </c>
      <c r="L5" s="4">
        <v>362.63667829048433</v>
      </c>
    </row>
    <row r="6" spans="1:13" x14ac:dyDescent="0.2">
      <c r="A6" t="s">
        <v>50</v>
      </c>
      <c r="B6" t="s">
        <v>51</v>
      </c>
      <c r="C6" t="s">
        <v>41</v>
      </c>
      <c r="D6" t="s">
        <v>43</v>
      </c>
      <c r="E6" s="4">
        <v>2750.5724733201791</v>
      </c>
      <c r="F6" s="4">
        <v>-3334.6597518669441</v>
      </c>
      <c r="G6" s="4">
        <v>-6085.2322251871228</v>
      </c>
      <c r="H6" s="4">
        <v>3042.616112593561</v>
      </c>
      <c r="I6" s="8" t="s">
        <v>95</v>
      </c>
      <c r="J6" t="s">
        <v>96</v>
      </c>
      <c r="K6" t="s">
        <v>97</v>
      </c>
      <c r="L6" s="4">
        <v>0</v>
      </c>
      <c r="M6" t="s">
        <v>98</v>
      </c>
    </row>
    <row r="7" spans="1:13" x14ac:dyDescent="0.2">
      <c r="A7" t="s">
        <v>52</v>
      </c>
      <c r="B7" t="s">
        <v>46</v>
      </c>
      <c r="C7" t="s">
        <v>41</v>
      </c>
      <c r="D7" t="s">
        <v>43</v>
      </c>
      <c r="E7" s="4">
        <v>-288732.8057542555</v>
      </c>
      <c r="F7" s="4">
        <v>-279999.24439995358</v>
      </c>
      <c r="G7" s="4">
        <v>8733.5613543018699</v>
      </c>
      <c r="H7" s="4">
        <v>3325.4777598904911</v>
      </c>
      <c r="I7" s="3" t="s">
        <v>87</v>
      </c>
      <c r="J7" t="s">
        <v>99</v>
      </c>
      <c r="K7" t="s">
        <v>100</v>
      </c>
      <c r="L7" s="4">
        <v>0</v>
      </c>
      <c r="M7" t="s">
        <v>101</v>
      </c>
    </row>
    <row r="8" spans="1:13" x14ac:dyDescent="0.2">
      <c r="A8" t="s">
        <v>53</v>
      </c>
      <c r="B8" t="s">
        <v>48</v>
      </c>
      <c r="C8" t="s">
        <v>41</v>
      </c>
      <c r="D8" t="s">
        <v>54</v>
      </c>
      <c r="E8" s="4">
        <v>1680095.6080633809</v>
      </c>
      <c r="F8" s="4">
        <v>1837213.800536508</v>
      </c>
      <c r="G8" s="4">
        <v>157118.1924731266</v>
      </c>
      <c r="H8" s="4">
        <v>5030.7996108857906</v>
      </c>
      <c r="I8" s="3" t="s">
        <v>87</v>
      </c>
      <c r="J8" t="s">
        <v>102</v>
      </c>
      <c r="K8" t="s">
        <v>103</v>
      </c>
      <c r="L8" s="4">
        <v>0</v>
      </c>
      <c r="M8" t="s">
        <v>104</v>
      </c>
    </row>
    <row r="9" spans="1:13" x14ac:dyDescent="0.2">
      <c r="A9" t="s">
        <v>55</v>
      </c>
      <c r="B9" t="s">
        <v>56</v>
      </c>
      <c r="C9" t="s">
        <v>41</v>
      </c>
      <c r="D9" t="s">
        <v>54</v>
      </c>
      <c r="E9" s="4">
        <v>-13255.60541632352</v>
      </c>
      <c r="F9" s="4">
        <v>-13066.99760526395</v>
      </c>
      <c r="G9" s="4">
        <v>188.60781105956991</v>
      </c>
      <c r="H9" s="4">
        <v>1710.351840277086</v>
      </c>
      <c r="I9" s="7" t="s">
        <v>91</v>
      </c>
      <c r="L9" s="4">
        <v>188.60781105956991</v>
      </c>
    </row>
    <row r="10" spans="1:13" x14ac:dyDescent="0.2">
      <c r="A10" t="s">
        <v>57</v>
      </c>
      <c r="B10" t="s">
        <v>51</v>
      </c>
      <c r="C10" t="s">
        <v>41</v>
      </c>
      <c r="D10" t="s">
        <v>54</v>
      </c>
      <c r="E10" s="4">
        <v>-93948.403790874407</v>
      </c>
      <c r="F10" s="4">
        <v>93948.403790874407</v>
      </c>
      <c r="G10" s="4">
        <v>187896.80758174881</v>
      </c>
      <c r="H10" s="4">
        <v>3038.8265801246739</v>
      </c>
      <c r="I10" s="3" t="s">
        <v>87</v>
      </c>
      <c r="J10" t="s">
        <v>105</v>
      </c>
      <c r="K10" t="s">
        <v>106</v>
      </c>
      <c r="L10" s="4">
        <v>0</v>
      </c>
      <c r="M10" t="s">
        <v>107</v>
      </c>
    </row>
    <row r="11" spans="1:13" x14ac:dyDescent="0.2">
      <c r="A11" t="s">
        <v>58</v>
      </c>
      <c r="B11" t="s">
        <v>42</v>
      </c>
      <c r="C11" t="s">
        <v>41</v>
      </c>
      <c r="D11" t="s">
        <v>54</v>
      </c>
      <c r="E11" s="4">
        <v>-256601.69830602591</v>
      </c>
      <c r="F11" s="4">
        <v>-256875.11911506639</v>
      </c>
      <c r="G11" s="4">
        <v>-273.42080904042808</v>
      </c>
      <c r="H11" s="4">
        <v>2487.5178596472829</v>
      </c>
      <c r="I11" s="7" t="s">
        <v>91</v>
      </c>
      <c r="L11" s="4">
        <v>-273.42080904042808</v>
      </c>
    </row>
    <row r="12" spans="1:13" x14ac:dyDescent="0.2">
      <c r="A12" t="s">
        <v>59</v>
      </c>
      <c r="B12" t="s">
        <v>46</v>
      </c>
      <c r="C12" t="s">
        <v>60</v>
      </c>
      <c r="D12" t="s">
        <v>54</v>
      </c>
      <c r="E12" s="4">
        <v>100606.2028204518</v>
      </c>
      <c r="F12" s="4">
        <v>100579.82371900319</v>
      </c>
      <c r="G12" s="4">
        <v>-26.379101448561411</v>
      </c>
      <c r="H12" s="4">
        <v>2640.1051931440602</v>
      </c>
      <c r="I12" s="7" t="s">
        <v>91</v>
      </c>
      <c r="L12" s="4">
        <v>-26.379101448561411</v>
      </c>
    </row>
    <row r="13" spans="1:13" x14ac:dyDescent="0.2">
      <c r="A13" t="s">
        <v>61</v>
      </c>
      <c r="B13" t="s">
        <v>48</v>
      </c>
      <c r="C13" t="s">
        <v>60</v>
      </c>
      <c r="D13" t="s">
        <v>54</v>
      </c>
      <c r="E13" s="4">
        <v>301433.47277468338</v>
      </c>
      <c r="F13" s="4">
        <v>219505.08143336809</v>
      </c>
      <c r="G13" s="4">
        <v>-81928.39134131532</v>
      </c>
      <c r="H13" s="4">
        <v>6554.2713073054483</v>
      </c>
      <c r="I13" s="8" t="s">
        <v>95</v>
      </c>
      <c r="J13" t="s">
        <v>108</v>
      </c>
      <c r="K13" t="s">
        <v>109</v>
      </c>
      <c r="L13" s="4">
        <v>0</v>
      </c>
      <c r="M13" t="s">
        <v>110</v>
      </c>
    </row>
    <row r="14" spans="1:13" x14ac:dyDescent="0.2">
      <c r="A14" t="s">
        <v>62</v>
      </c>
      <c r="B14" t="s">
        <v>56</v>
      </c>
      <c r="C14" t="s">
        <v>60</v>
      </c>
      <c r="D14" t="s">
        <v>54</v>
      </c>
      <c r="E14" s="4">
        <v>530456.72376701888</v>
      </c>
      <c r="F14" s="4">
        <v>530529.39978543483</v>
      </c>
      <c r="G14" s="4">
        <v>72.676018415950239</v>
      </c>
      <c r="H14" s="4">
        <v>3891.0640130169431</v>
      </c>
      <c r="I14" s="7" t="s">
        <v>91</v>
      </c>
      <c r="L14" s="4">
        <v>72.676018415950239</v>
      </c>
    </row>
    <row r="15" spans="1:13" x14ac:dyDescent="0.2">
      <c r="A15" t="s">
        <v>63</v>
      </c>
      <c r="B15" t="s">
        <v>42</v>
      </c>
      <c r="C15" t="s">
        <v>60</v>
      </c>
      <c r="D15" t="s">
        <v>54</v>
      </c>
      <c r="E15" s="4">
        <v>150380.5719168924</v>
      </c>
      <c r="F15" s="4">
        <v>132388.55609421391</v>
      </c>
      <c r="G15" s="4">
        <v>-17992.01582267851</v>
      </c>
      <c r="H15" s="4">
        <v>2027.270941065455</v>
      </c>
      <c r="I15" s="3" t="s">
        <v>87</v>
      </c>
      <c r="J15" t="s">
        <v>102</v>
      </c>
      <c r="K15" t="s">
        <v>103</v>
      </c>
      <c r="L15" s="4">
        <v>0</v>
      </c>
      <c r="M15" t="s">
        <v>104</v>
      </c>
    </row>
    <row r="16" spans="1:13" x14ac:dyDescent="0.2">
      <c r="A16" t="s">
        <v>64</v>
      </c>
      <c r="B16" t="s">
        <v>51</v>
      </c>
      <c r="C16" t="s">
        <v>60</v>
      </c>
      <c r="D16" t="s">
        <v>54</v>
      </c>
      <c r="E16" s="4">
        <v>63988.089278099302</v>
      </c>
      <c r="F16" s="4">
        <v>63909.97695954801</v>
      </c>
      <c r="G16" s="4">
        <v>-78.112318551291537</v>
      </c>
      <c r="H16" s="4">
        <v>3157.7457280492549</v>
      </c>
      <c r="I16" s="7" t="s">
        <v>91</v>
      </c>
      <c r="L16" s="4">
        <v>-78.112318551291537</v>
      </c>
    </row>
    <row r="17" spans="1:13" x14ac:dyDescent="0.2">
      <c r="A17" t="s">
        <v>65</v>
      </c>
      <c r="B17" t="s">
        <v>46</v>
      </c>
      <c r="C17" t="s">
        <v>66</v>
      </c>
      <c r="D17" t="s">
        <v>54</v>
      </c>
      <c r="E17" s="4">
        <v>119977.6623178743</v>
      </c>
      <c r="F17" s="4">
        <v>120486.39956173991</v>
      </c>
      <c r="G17" s="4">
        <v>508.73724386563123</v>
      </c>
      <c r="H17" s="4">
        <v>3959.310686355871</v>
      </c>
      <c r="I17" s="7" t="s">
        <v>91</v>
      </c>
      <c r="L17" s="4">
        <v>508.73724386563123</v>
      </c>
    </row>
    <row r="18" spans="1:13" x14ac:dyDescent="0.2">
      <c r="A18" t="s">
        <v>67</v>
      </c>
      <c r="B18" t="s">
        <v>48</v>
      </c>
      <c r="C18" t="s">
        <v>66</v>
      </c>
      <c r="D18" t="s">
        <v>54</v>
      </c>
      <c r="E18" s="4">
        <v>129899.4198868644</v>
      </c>
      <c r="F18" s="4">
        <v>182480.04073193931</v>
      </c>
      <c r="G18" s="4">
        <v>52580.620845074882</v>
      </c>
      <c r="H18" s="4">
        <v>8590.4726065536452</v>
      </c>
      <c r="I18" s="8" t="s">
        <v>95</v>
      </c>
      <c r="J18" t="s">
        <v>111</v>
      </c>
      <c r="K18" t="s">
        <v>112</v>
      </c>
      <c r="L18" s="4">
        <v>-1120.5201940344409</v>
      </c>
      <c r="M18" t="s">
        <v>113</v>
      </c>
    </row>
    <row r="19" spans="1:13" x14ac:dyDescent="0.2">
      <c r="A19" t="s">
        <v>68</v>
      </c>
      <c r="B19" t="s">
        <v>56</v>
      </c>
      <c r="C19" t="s">
        <v>66</v>
      </c>
      <c r="D19" t="s">
        <v>54</v>
      </c>
      <c r="E19" s="4">
        <v>-150927.0613590237</v>
      </c>
      <c r="F19" s="4">
        <v>-168664.15349494279</v>
      </c>
      <c r="G19" s="4">
        <v>-17737.092135919142</v>
      </c>
      <c r="H19" s="4">
        <v>11085.68258494946</v>
      </c>
      <c r="I19" s="8" t="s">
        <v>95</v>
      </c>
      <c r="J19" t="s">
        <v>96</v>
      </c>
      <c r="K19" t="s">
        <v>114</v>
      </c>
      <c r="L19" s="4">
        <v>0</v>
      </c>
      <c r="M19" t="s">
        <v>98</v>
      </c>
    </row>
    <row r="20" spans="1:13" x14ac:dyDescent="0.2">
      <c r="A20" t="s">
        <v>69</v>
      </c>
      <c r="B20" t="s">
        <v>42</v>
      </c>
      <c r="C20" t="s">
        <v>66</v>
      </c>
      <c r="D20" t="s">
        <v>54</v>
      </c>
      <c r="E20" s="4">
        <v>-158135.03367200721</v>
      </c>
      <c r="F20" s="4">
        <v>-157421.56081655639</v>
      </c>
      <c r="G20" s="4">
        <v>713.47285545087652</v>
      </c>
      <c r="H20" s="4">
        <v>6004.2601694837504</v>
      </c>
      <c r="I20" s="7" t="s">
        <v>91</v>
      </c>
      <c r="L20" s="4">
        <v>713.47285545087652</v>
      </c>
    </row>
    <row r="21" spans="1:13" x14ac:dyDescent="0.2">
      <c r="A21" t="s">
        <v>70</v>
      </c>
      <c r="B21" t="s">
        <v>51</v>
      </c>
      <c r="C21" t="s">
        <v>66</v>
      </c>
      <c r="D21" t="s">
        <v>54</v>
      </c>
      <c r="E21" s="4">
        <v>492407.26114261447</v>
      </c>
      <c r="F21" s="4">
        <v>615509.0764282681</v>
      </c>
      <c r="G21" s="4">
        <v>123101.8152856536</v>
      </c>
      <c r="H21" s="4">
        <v>18244.374726271712</v>
      </c>
      <c r="I21" s="3" t="s">
        <v>87</v>
      </c>
      <c r="J21" t="s">
        <v>92</v>
      </c>
      <c r="K21" t="s">
        <v>115</v>
      </c>
      <c r="L21" s="4">
        <v>0</v>
      </c>
      <c r="M21" t="s">
        <v>94</v>
      </c>
    </row>
    <row r="22" spans="1:13" x14ac:dyDescent="0.2">
      <c r="A22" t="s">
        <v>71</v>
      </c>
      <c r="B22" t="s">
        <v>42</v>
      </c>
      <c r="C22" t="s">
        <v>72</v>
      </c>
      <c r="D22" t="s">
        <v>43</v>
      </c>
      <c r="E22" s="4">
        <v>551987.25589951663</v>
      </c>
      <c r="F22" s="4">
        <v>551971.37397781236</v>
      </c>
      <c r="G22" s="4">
        <v>-15.88192170427646</v>
      </c>
      <c r="H22" s="4">
        <v>4953.0323865815299</v>
      </c>
      <c r="I22" s="7" t="s">
        <v>91</v>
      </c>
      <c r="L22" s="4">
        <v>-15.88192170427646</v>
      </c>
    </row>
    <row r="23" spans="1:13" x14ac:dyDescent="0.2">
      <c r="A23" t="s">
        <v>73</v>
      </c>
      <c r="B23" t="s">
        <v>48</v>
      </c>
      <c r="C23" t="s">
        <v>72</v>
      </c>
      <c r="D23" t="s">
        <v>43</v>
      </c>
      <c r="E23" s="4">
        <v>-44139.169740996069</v>
      </c>
      <c r="F23" s="4">
        <v>-49436.663989795801</v>
      </c>
      <c r="G23" s="4">
        <v>-5297.4942487997323</v>
      </c>
      <c r="H23" s="4">
        <v>1000</v>
      </c>
      <c r="I23" s="8" t="s">
        <v>95</v>
      </c>
      <c r="J23" t="s">
        <v>111</v>
      </c>
      <c r="K23" t="s">
        <v>116</v>
      </c>
      <c r="L23" s="4">
        <v>42.427868583938107</v>
      </c>
      <c r="M23" t="s">
        <v>113</v>
      </c>
    </row>
    <row r="24" spans="1:13" x14ac:dyDescent="0.2">
      <c r="A24" t="s">
        <v>74</v>
      </c>
      <c r="B24" t="s">
        <v>56</v>
      </c>
      <c r="C24" t="s">
        <v>72</v>
      </c>
      <c r="D24" t="s">
        <v>54</v>
      </c>
      <c r="E24" s="4">
        <v>1246935.6718539649</v>
      </c>
      <c r="F24" s="4">
        <v>1126950.4639036059</v>
      </c>
      <c r="G24" s="4">
        <v>-119985.20795035901</v>
      </c>
      <c r="H24" s="4">
        <v>15454.77815498621</v>
      </c>
      <c r="I24" s="3" t="s">
        <v>87</v>
      </c>
      <c r="J24" t="s">
        <v>102</v>
      </c>
      <c r="K24" t="s">
        <v>103</v>
      </c>
      <c r="L24" s="4">
        <v>0</v>
      </c>
      <c r="M24" t="s">
        <v>104</v>
      </c>
    </row>
    <row r="25" spans="1:13" x14ac:dyDescent="0.2">
      <c r="A25" t="s">
        <v>75</v>
      </c>
      <c r="B25" t="s">
        <v>51</v>
      </c>
      <c r="C25" t="s">
        <v>72</v>
      </c>
      <c r="D25" t="s">
        <v>54</v>
      </c>
      <c r="E25" s="4">
        <v>-134735.90214110291</v>
      </c>
      <c r="F25" s="4">
        <v>-137715.6439335563</v>
      </c>
      <c r="G25" s="4">
        <v>-2979.7417924534238</v>
      </c>
      <c r="H25" s="4">
        <v>1986.494528302283</v>
      </c>
      <c r="I25" s="8" t="s">
        <v>95</v>
      </c>
      <c r="J25" t="s">
        <v>96</v>
      </c>
      <c r="K25" t="s">
        <v>117</v>
      </c>
      <c r="L25" s="4">
        <v>0</v>
      </c>
      <c r="M25" t="s">
        <v>98</v>
      </c>
    </row>
    <row r="26" spans="1:13" x14ac:dyDescent="0.2">
      <c r="A26" t="s">
        <v>76</v>
      </c>
      <c r="B26" t="s">
        <v>46</v>
      </c>
      <c r="C26" t="s">
        <v>77</v>
      </c>
      <c r="D26" t="s">
        <v>54</v>
      </c>
      <c r="E26" s="4">
        <v>-110587.80315127219</v>
      </c>
      <c r="F26" s="4">
        <v>110587.80315127219</v>
      </c>
      <c r="G26" s="4">
        <v>221175.6063025445</v>
      </c>
      <c r="H26" s="4">
        <v>5329.624409081116</v>
      </c>
      <c r="I26" s="3" t="s">
        <v>87</v>
      </c>
      <c r="J26" t="s">
        <v>105</v>
      </c>
      <c r="K26" t="s">
        <v>106</v>
      </c>
      <c r="L26" s="4">
        <v>0</v>
      </c>
      <c r="M26" t="s">
        <v>107</v>
      </c>
    </row>
    <row r="27" spans="1:13" x14ac:dyDescent="0.2">
      <c r="A27" t="s">
        <v>78</v>
      </c>
      <c r="B27" t="s">
        <v>56</v>
      </c>
      <c r="C27" t="s">
        <v>77</v>
      </c>
      <c r="D27" t="s">
        <v>54</v>
      </c>
      <c r="E27" s="4">
        <v>431387.6903665252</v>
      </c>
      <c r="F27" s="4">
        <v>431348.44346637127</v>
      </c>
      <c r="G27" s="4">
        <v>-39.246900153870229</v>
      </c>
      <c r="H27" s="4">
        <v>3985.112830515131</v>
      </c>
      <c r="I27" s="7" t="s">
        <v>91</v>
      </c>
      <c r="L27" s="4">
        <v>-39.246900153870229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FE7DA-94BA-5F49-BE9A-3CE767F4139B}">
  <sheetPr codeName="Sheet5"/>
  <dimension ref="A1:S16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RowHeight="15" x14ac:dyDescent="0.2"/>
  <cols>
    <col min="1" max="1" width="12.5" bestFit="1" customWidth="1"/>
    <col min="2" max="2" width="11.33203125" bestFit="1" customWidth="1"/>
    <col min="3" max="3" width="4.33203125" bestFit="1" customWidth="1"/>
    <col min="4" max="4" width="9.1640625" bestFit="1" customWidth="1"/>
    <col min="5" max="5" width="8.6640625" bestFit="1" customWidth="1"/>
    <col min="6" max="6" width="10.33203125" bestFit="1" customWidth="1"/>
    <col min="7" max="7" width="9.5" bestFit="1" customWidth="1"/>
    <col min="8" max="8" width="13.83203125" bestFit="1" customWidth="1"/>
    <col min="9" max="10" width="50.83203125" customWidth="1"/>
  </cols>
  <sheetData>
    <row r="1" spans="1:19" s="17" customFormat="1" x14ac:dyDescent="0.2">
      <c r="A1" s="17" t="s">
        <v>25</v>
      </c>
      <c r="B1" s="17" t="s">
        <v>27</v>
      </c>
      <c r="C1" s="17" t="s">
        <v>28</v>
      </c>
      <c r="D1" s="17" t="s">
        <v>81</v>
      </c>
      <c r="E1" s="17" t="s">
        <v>82</v>
      </c>
      <c r="F1" s="17" t="s">
        <v>118</v>
      </c>
      <c r="G1" s="17" t="s">
        <v>83</v>
      </c>
      <c r="H1" s="17" t="s">
        <v>84</v>
      </c>
      <c r="I1" s="17" t="s">
        <v>5</v>
      </c>
      <c r="J1" s="17" t="s">
        <v>86</v>
      </c>
      <c r="K1" s="17" t="s">
        <v>119</v>
      </c>
      <c r="L1" s="17" t="s">
        <v>120</v>
      </c>
      <c r="M1" s="17" t="s">
        <v>121</v>
      </c>
      <c r="O1" s="17" t="s">
        <v>27</v>
      </c>
      <c r="P1" s="17" t="s">
        <v>87</v>
      </c>
      <c r="Q1" s="17" t="s">
        <v>95</v>
      </c>
      <c r="R1" s="17" t="s">
        <v>123</v>
      </c>
      <c r="S1" s="17" t="s">
        <v>124</v>
      </c>
    </row>
    <row r="2" spans="1:19" x14ac:dyDescent="0.2">
      <c r="A2" s="9" t="s">
        <v>57</v>
      </c>
      <c r="B2" s="9" t="s">
        <v>51</v>
      </c>
      <c r="C2" s="9" t="s">
        <v>54</v>
      </c>
      <c r="D2" s="10">
        <v>187896.80758174881</v>
      </c>
      <c r="E2" s="10">
        <v>3038.8265801246739</v>
      </c>
      <c r="F2" s="11">
        <v>61.832027141884474</v>
      </c>
      <c r="G2" s="9" t="s">
        <v>87</v>
      </c>
      <c r="H2" s="9" t="s">
        <v>105</v>
      </c>
      <c r="I2" s="9" t="s">
        <v>106</v>
      </c>
      <c r="J2" s="9" t="s">
        <v>107</v>
      </c>
      <c r="K2" s="9"/>
      <c r="L2" s="12">
        <v>46311</v>
      </c>
      <c r="M2" s="9" t="s">
        <v>122</v>
      </c>
      <c r="O2" t="s">
        <v>42</v>
      </c>
      <c r="P2">
        <f>COUNTIFS($B$2:$B$16,$O2,$G$2:$G$16,$P$1)</f>
        <v>2</v>
      </c>
      <c r="Q2">
        <f>COUNTIFS($B$2:$B$16,$O2,$G$2:$G$16,$Q$1)</f>
        <v>0</v>
      </c>
      <c r="R2">
        <f>COUNTIFS($B$2:$B$16,$O2,$G$2:$G$16,$R$1)</f>
        <v>0</v>
      </c>
      <c r="S2">
        <f>SUM(P2:R2)</f>
        <v>2</v>
      </c>
    </row>
    <row r="3" spans="1:19" x14ac:dyDescent="0.2">
      <c r="A3" s="9" t="s">
        <v>76</v>
      </c>
      <c r="B3" s="9" t="s">
        <v>46</v>
      </c>
      <c r="C3" s="9" t="s">
        <v>54</v>
      </c>
      <c r="D3" s="10">
        <v>221175.6063025445</v>
      </c>
      <c r="E3" s="10">
        <v>5329.624409081116</v>
      </c>
      <c r="F3" s="11">
        <v>41.499285751859865</v>
      </c>
      <c r="G3" s="9" t="s">
        <v>87</v>
      </c>
      <c r="H3" s="9" t="s">
        <v>105</v>
      </c>
      <c r="I3" s="9" t="s">
        <v>106</v>
      </c>
      <c r="J3" s="9" t="s">
        <v>107</v>
      </c>
      <c r="K3" s="9"/>
      <c r="L3" s="12">
        <v>46311</v>
      </c>
      <c r="M3" s="9" t="s">
        <v>122</v>
      </c>
      <c r="O3" t="s">
        <v>46</v>
      </c>
      <c r="P3">
        <f>COUNTIFS($B$2:$B$16,$O3,$G$2:$G$16,$P$1)</f>
        <v>2</v>
      </c>
      <c r="Q3">
        <f>COUNTIFS($B$2:$B$16,$O3,$G$2:$G$16,$Q$1)</f>
        <v>0</v>
      </c>
      <c r="R3">
        <f>COUNTIFS($B$2:$B$16,$O3,$G$2:$G$16,$R$1)</f>
        <v>0</v>
      </c>
      <c r="S3">
        <f>SUM(P3:R3)</f>
        <v>2</v>
      </c>
    </row>
    <row r="4" spans="1:19" x14ac:dyDescent="0.2">
      <c r="A4" s="9" t="s">
        <v>53</v>
      </c>
      <c r="B4" s="9" t="s">
        <v>48</v>
      </c>
      <c r="C4" s="9" t="s">
        <v>54</v>
      </c>
      <c r="D4" s="10">
        <v>157118.1924731266</v>
      </c>
      <c r="E4" s="10">
        <v>5030.7996108857906</v>
      </c>
      <c r="F4" s="11">
        <v>31.231256385793959</v>
      </c>
      <c r="G4" s="9" t="s">
        <v>87</v>
      </c>
      <c r="H4" s="9" t="s">
        <v>102</v>
      </c>
      <c r="I4" s="9" t="s">
        <v>103</v>
      </c>
      <c r="J4" s="9" t="s">
        <v>104</v>
      </c>
      <c r="K4" s="9"/>
      <c r="L4" s="12">
        <v>46311</v>
      </c>
      <c r="M4" s="9" t="s">
        <v>122</v>
      </c>
      <c r="O4" t="s">
        <v>48</v>
      </c>
      <c r="P4">
        <f>COUNTIFS($B$2:$B$16,$O4,$G$2:$G$16,$P$1)</f>
        <v>2</v>
      </c>
      <c r="Q4">
        <f>COUNTIFS($B$2:$B$16,$O4,$G$2:$G$16,$Q$1)</f>
        <v>3</v>
      </c>
      <c r="R4">
        <f>COUNTIFS($B$2:$B$16,$O4,$G$2:$G$16,$R$1)</f>
        <v>0</v>
      </c>
      <c r="S4">
        <f>SUM(P4:R4)</f>
        <v>5</v>
      </c>
    </row>
    <row r="5" spans="1:19" x14ac:dyDescent="0.2">
      <c r="A5" s="9" t="s">
        <v>40</v>
      </c>
      <c r="B5" s="9" t="s">
        <v>42</v>
      </c>
      <c r="C5" s="9" t="s">
        <v>43</v>
      </c>
      <c r="D5" s="10">
        <v>-104535.68926038691</v>
      </c>
      <c r="E5" s="10">
        <v>3998.5550392344589</v>
      </c>
      <c r="F5" s="11">
        <v>26.14336634976037</v>
      </c>
      <c r="G5" s="9" t="s">
        <v>87</v>
      </c>
      <c r="H5" s="9" t="s">
        <v>88</v>
      </c>
      <c r="I5" s="9" t="s">
        <v>89</v>
      </c>
      <c r="J5" s="9" t="s">
        <v>90</v>
      </c>
      <c r="K5" s="9"/>
      <c r="L5" s="12">
        <v>46311</v>
      </c>
      <c r="M5" s="9" t="s">
        <v>122</v>
      </c>
      <c r="O5" t="s">
        <v>51</v>
      </c>
      <c r="P5">
        <f>COUNTIFS($B$2:$B$16,$O5,$G$2:$G$16,$P$1)</f>
        <v>2</v>
      </c>
      <c r="Q5">
        <f>COUNTIFS($B$2:$B$16,$O5,$G$2:$G$16,$Q$1)</f>
        <v>2</v>
      </c>
      <c r="R5">
        <f>COUNTIFS($B$2:$B$16,$O5,$G$2:$G$16,$R$1)</f>
        <v>0</v>
      </c>
      <c r="S5">
        <f>SUM(P5:R5)</f>
        <v>4</v>
      </c>
    </row>
    <row r="6" spans="1:19" x14ac:dyDescent="0.2">
      <c r="A6" s="13" t="s">
        <v>61</v>
      </c>
      <c r="B6" s="13" t="s">
        <v>48</v>
      </c>
      <c r="C6" s="13" t="s">
        <v>54</v>
      </c>
      <c r="D6" s="14">
        <v>-81928.39134131532</v>
      </c>
      <c r="E6" s="14">
        <v>6554.2713073054483</v>
      </c>
      <c r="F6" s="15">
        <v>12.499999999999575</v>
      </c>
      <c r="G6" s="13" t="s">
        <v>95</v>
      </c>
      <c r="H6" s="13" t="s">
        <v>108</v>
      </c>
      <c r="I6" s="13" t="s">
        <v>109</v>
      </c>
      <c r="J6" s="13" t="s">
        <v>110</v>
      </c>
      <c r="K6" s="13"/>
      <c r="L6" s="16">
        <v>46311</v>
      </c>
      <c r="M6" s="13" t="s">
        <v>122</v>
      </c>
      <c r="O6" t="s">
        <v>56</v>
      </c>
      <c r="P6">
        <f>COUNTIFS($B$2:$B$16,$O6,$G$2:$G$16,$P$1)</f>
        <v>1</v>
      </c>
      <c r="Q6">
        <f>COUNTIFS($B$2:$B$16,$O6,$G$2:$G$16,$Q$1)</f>
        <v>1</v>
      </c>
      <c r="R6">
        <f>COUNTIFS($B$2:$B$16,$O6,$G$2:$G$16,$R$1)</f>
        <v>0</v>
      </c>
      <c r="S6">
        <f>SUM(P6:R6)</f>
        <v>2</v>
      </c>
    </row>
    <row r="7" spans="1:19" x14ac:dyDescent="0.2">
      <c r="A7" s="9" t="s">
        <v>63</v>
      </c>
      <c r="B7" s="9" t="s">
        <v>42</v>
      </c>
      <c r="C7" s="9" t="s">
        <v>54</v>
      </c>
      <c r="D7" s="10">
        <v>-17992.01582267851</v>
      </c>
      <c r="E7" s="10">
        <v>2027.270941065455</v>
      </c>
      <c r="F7" s="11">
        <v>8.8749932030410328</v>
      </c>
      <c r="G7" s="9" t="s">
        <v>87</v>
      </c>
      <c r="H7" s="9" t="s">
        <v>102</v>
      </c>
      <c r="I7" s="9" t="s">
        <v>103</v>
      </c>
      <c r="J7" s="9" t="s">
        <v>104</v>
      </c>
      <c r="K7" s="9"/>
      <c r="L7" s="12">
        <v>46311</v>
      </c>
      <c r="M7" s="9" t="s">
        <v>122</v>
      </c>
    </row>
    <row r="8" spans="1:19" x14ac:dyDescent="0.2">
      <c r="A8" s="9" t="s">
        <v>74</v>
      </c>
      <c r="B8" s="9" t="s">
        <v>56</v>
      </c>
      <c r="C8" s="9" t="s">
        <v>54</v>
      </c>
      <c r="D8" s="10">
        <v>-119985.20795035901</v>
      </c>
      <c r="E8" s="10">
        <v>15454.77815498621</v>
      </c>
      <c r="F8" s="11">
        <v>7.7636318520462169</v>
      </c>
      <c r="G8" s="9" t="s">
        <v>87</v>
      </c>
      <c r="H8" s="9" t="s">
        <v>102</v>
      </c>
      <c r="I8" s="9" t="s">
        <v>103</v>
      </c>
      <c r="J8" s="9" t="s">
        <v>104</v>
      </c>
      <c r="K8" s="9"/>
      <c r="L8" s="12">
        <v>46311</v>
      </c>
      <c r="M8" s="9" t="s">
        <v>122</v>
      </c>
    </row>
    <row r="9" spans="1:19" x14ac:dyDescent="0.2">
      <c r="A9" s="9" t="s">
        <v>70</v>
      </c>
      <c r="B9" s="9" t="s">
        <v>51</v>
      </c>
      <c r="C9" s="9" t="s">
        <v>54</v>
      </c>
      <c r="D9" s="10">
        <v>123101.8152856536</v>
      </c>
      <c r="E9" s="10">
        <v>18244.374726271712</v>
      </c>
      <c r="F9" s="11">
        <v>6.7473847217349823</v>
      </c>
      <c r="G9" s="9" t="s">
        <v>87</v>
      </c>
      <c r="H9" s="9" t="s">
        <v>92</v>
      </c>
      <c r="I9" s="9" t="s">
        <v>115</v>
      </c>
      <c r="J9" s="9" t="s">
        <v>94</v>
      </c>
      <c r="K9" s="9"/>
      <c r="L9" s="12">
        <v>46311</v>
      </c>
      <c r="M9" s="9" t="s">
        <v>122</v>
      </c>
    </row>
    <row r="10" spans="1:19" x14ac:dyDescent="0.2">
      <c r="A10" s="13" t="s">
        <v>67</v>
      </c>
      <c r="B10" s="13" t="s">
        <v>48</v>
      </c>
      <c r="C10" s="13" t="s">
        <v>54</v>
      </c>
      <c r="D10" s="14">
        <v>52580.620845074882</v>
      </c>
      <c r="E10" s="14">
        <v>8590.4726065536452</v>
      </c>
      <c r="F10" s="15">
        <v>6.1208065322228355</v>
      </c>
      <c r="G10" s="13" t="s">
        <v>95</v>
      </c>
      <c r="H10" s="13" t="s">
        <v>111</v>
      </c>
      <c r="I10" s="13" t="s">
        <v>112</v>
      </c>
      <c r="J10" s="13" t="s">
        <v>113</v>
      </c>
      <c r="K10" s="13"/>
      <c r="L10" s="16">
        <v>46311</v>
      </c>
      <c r="M10" s="13" t="s">
        <v>122</v>
      </c>
    </row>
    <row r="11" spans="1:19" x14ac:dyDescent="0.2">
      <c r="A11" s="13" t="s">
        <v>73</v>
      </c>
      <c r="B11" s="13" t="s">
        <v>48</v>
      </c>
      <c r="C11" s="13" t="s">
        <v>43</v>
      </c>
      <c r="D11" s="14">
        <v>-5297.4942487997323</v>
      </c>
      <c r="E11" s="14">
        <v>1000</v>
      </c>
      <c r="F11" s="15">
        <v>5.2974942487997323</v>
      </c>
      <c r="G11" s="13" t="s">
        <v>95</v>
      </c>
      <c r="H11" s="13" t="s">
        <v>111</v>
      </c>
      <c r="I11" s="13" t="s">
        <v>116</v>
      </c>
      <c r="J11" s="13" t="s">
        <v>113</v>
      </c>
      <c r="K11" s="13"/>
      <c r="L11" s="16">
        <v>46311</v>
      </c>
      <c r="M11" s="13" t="s">
        <v>122</v>
      </c>
    </row>
    <row r="12" spans="1:19" x14ac:dyDescent="0.2">
      <c r="A12" s="9" t="s">
        <v>52</v>
      </c>
      <c r="B12" s="9" t="s">
        <v>46</v>
      </c>
      <c r="C12" s="9" t="s">
        <v>43</v>
      </c>
      <c r="D12" s="10">
        <v>8733.5613543018699</v>
      </c>
      <c r="E12" s="10">
        <v>3325.4777598904911</v>
      </c>
      <c r="F12" s="11">
        <v>2.6262576342081649</v>
      </c>
      <c r="G12" s="9" t="s">
        <v>87</v>
      </c>
      <c r="H12" s="9" t="s">
        <v>99</v>
      </c>
      <c r="I12" s="9" t="s">
        <v>100</v>
      </c>
      <c r="J12" s="9" t="s">
        <v>101</v>
      </c>
      <c r="K12" s="9"/>
      <c r="L12" s="12">
        <v>46311</v>
      </c>
      <c r="M12" s="9" t="s">
        <v>122</v>
      </c>
    </row>
    <row r="13" spans="1:19" x14ac:dyDescent="0.2">
      <c r="A13" s="9" t="s">
        <v>47</v>
      </c>
      <c r="B13" s="9" t="s">
        <v>48</v>
      </c>
      <c r="C13" s="9" t="s">
        <v>43</v>
      </c>
      <c r="D13" s="10">
        <v>-4017.2116580315628</v>
      </c>
      <c r="E13" s="10">
        <v>1959.640922935097</v>
      </c>
      <c r="F13" s="11">
        <v>2.0499733451242141</v>
      </c>
      <c r="G13" s="9" t="s">
        <v>87</v>
      </c>
      <c r="H13" s="9" t="s">
        <v>92</v>
      </c>
      <c r="I13" s="9" t="s">
        <v>93</v>
      </c>
      <c r="J13" s="9" t="s">
        <v>94</v>
      </c>
      <c r="K13" s="9"/>
      <c r="L13" s="12">
        <v>46311</v>
      </c>
      <c r="M13" s="9" t="s">
        <v>122</v>
      </c>
    </row>
    <row r="14" spans="1:19" x14ac:dyDescent="0.2">
      <c r="A14" s="13" t="s">
        <v>50</v>
      </c>
      <c r="B14" s="13" t="s">
        <v>51</v>
      </c>
      <c r="C14" s="13" t="s">
        <v>43</v>
      </c>
      <c r="D14" s="14">
        <v>-6085.2322251871228</v>
      </c>
      <c r="E14" s="14">
        <v>3042.616112593561</v>
      </c>
      <c r="F14" s="15">
        <v>2.0000000000000004</v>
      </c>
      <c r="G14" s="13" t="s">
        <v>95</v>
      </c>
      <c r="H14" s="13" t="s">
        <v>96</v>
      </c>
      <c r="I14" s="13" t="s">
        <v>97</v>
      </c>
      <c r="J14" s="13" t="s">
        <v>98</v>
      </c>
      <c r="K14" s="13"/>
      <c r="L14" s="16">
        <v>46311</v>
      </c>
      <c r="M14" s="13" t="s">
        <v>122</v>
      </c>
    </row>
    <row r="15" spans="1:19" x14ac:dyDescent="0.2">
      <c r="A15" s="13" t="s">
        <v>68</v>
      </c>
      <c r="B15" s="13" t="s">
        <v>56</v>
      </c>
      <c r="C15" s="13" t="s">
        <v>54</v>
      </c>
      <c r="D15" s="14">
        <v>-17737.092135919142</v>
      </c>
      <c r="E15" s="14">
        <v>11085.68258494946</v>
      </c>
      <c r="F15" s="15">
        <v>1.6000000000000005</v>
      </c>
      <c r="G15" s="13" t="s">
        <v>95</v>
      </c>
      <c r="H15" s="13" t="s">
        <v>96</v>
      </c>
      <c r="I15" s="13" t="s">
        <v>114</v>
      </c>
      <c r="J15" s="13" t="s">
        <v>98</v>
      </c>
      <c r="K15" s="13"/>
      <c r="L15" s="16">
        <v>46311</v>
      </c>
      <c r="M15" s="13" t="s">
        <v>122</v>
      </c>
    </row>
    <row r="16" spans="1:19" x14ac:dyDescent="0.2">
      <c r="A16" s="13" t="s">
        <v>75</v>
      </c>
      <c r="B16" s="13" t="s">
        <v>51</v>
      </c>
      <c r="C16" s="13" t="s">
        <v>54</v>
      </c>
      <c r="D16" s="14">
        <v>-2979.7417924534238</v>
      </c>
      <c r="E16" s="14">
        <v>1986.494528302283</v>
      </c>
      <c r="F16" s="15">
        <v>1.4999999999999996</v>
      </c>
      <c r="G16" s="13" t="s">
        <v>95</v>
      </c>
      <c r="H16" s="13" t="s">
        <v>96</v>
      </c>
      <c r="I16" s="13" t="s">
        <v>117</v>
      </c>
      <c r="J16" s="13" t="s">
        <v>98</v>
      </c>
      <c r="K16" s="13"/>
      <c r="L16" s="16">
        <v>46311</v>
      </c>
      <c r="M16" s="13" t="s">
        <v>122</v>
      </c>
    </row>
  </sheetData>
  <sortState xmlns:xlrd2="http://schemas.microsoft.com/office/spreadsheetml/2017/richdata2" ref="O3:O6">
    <sortCondition ref="O2"/>
  </sortState>
  <dataValidations count="1">
    <dataValidation type="list" allowBlank="1" showInputMessage="1" showErrorMessage="1" sqref="M2:M16" xr:uid="{BC80B1AB-DC03-5C4B-88A9-AD0D969F9B96}">
      <formula1>"Open,Sent to dealer,Resolved,Escalated"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QC</vt:lpstr>
      <vt:lpstr>Curves</vt:lpstr>
      <vt:lpstr>Valuations</vt:lpstr>
      <vt:lpstr>Challenges</vt:lpstr>
      <vt:lpstr>Exceptions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Qiankun Zhu</cp:lastModifiedBy>
  <dcterms:created xsi:type="dcterms:W3CDTF">2026-10-16T22:31:36Z</dcterms:created>
  <dcterms:modified xsi:type="dcterms:W3CDTF">2026-10-16T22:53:02Z</dcterms:modified>
</cp:coreProperties>
</file>